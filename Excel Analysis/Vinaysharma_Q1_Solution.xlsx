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Final_Outpu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strike val="1"/>
      <color theme="1"/>
      <sz val="11"/>
    </font>
    <font>
      <name val="Aptos Narrow"/>
      <sz val="11"/>
    </font>
    <font>
      <name val="Aptos Narrow"/>
      <color theme="1"/>
      <sz val="11"/>
      <vertAlign val="superscript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0" pivotButton="0" quotePrefix="0" xfId="0"/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9" fontId="2" fillId="0" borderId="5" applyAlignment="1" pivotButton="0" quotePrefix="0" xfId="0">
      <alignment horizontal="center"/>
    </xf>
    <xf numFmtId="0" fontId="2" fillId="0" borderId="5" pivotButton="0" quotePrefix="0" xfId="0"/>
    <xf numFmtId="9" fontId="2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4" fillId="0" borderId="3" pivotButton="0" quotePrefix="0" xfId="0"/>
    <xf numFmtId="164" fontId="0" fillId="0" borderId="0" pivotButton="0" quotePrefix="0" xfId="0"/>
    <xf numFmtId="0" fontId="1" fillId="0" borderId="9" applyAlignment="1" pivotButton="0" quotePrefix="0" xfId="0">
      <alignment horizontal="center"/>
    </xf>
    <xf numFmtId="0" fontId="0" fillId="0" borderId="3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zoomScale="87" zoomScaleNormal="87" workbookViewId="0">
      <selection activeCell="A2" sqref="A2"/>
    </sheetView>
  </sheetViews>
  <sheetFormatPr baseColWidth="8" defaultColWidth="12.58203125" defaultRowHeight="15" customHeight="1"/>
  <cols>
    <col width="42" customWidth="1" min="1" max="1"/>
    <col width="53.58203125" customWidth="1" min="2" max="2"/>
    <col width="27.75" customWidth="1" min="3" max="3"/>
    <col width="16.1640625" customWidth="1" min="4" max="4"/>
    <col width="8.58203125" customWidth="1" min="5" max="26"/>
  </cols>
  <sheetData>
    <row r="1" ht="14" customHeight="1">
      <c r="A1" s="14" t="inlineStr">
        <is>
          <t>SKU</t>
        </is>
      </c>
      <c r="B1" s="2" t="inlineStr">
        <is>
          <t>Selling price</t>
        </is>
      </c>
      <c r="C1" s="2" t="inlineStr">
        <is>
          <t>Dimensions ( L X B X H) Inches</t>
        </is>
      </c>
      <c r="D1" s="3" t="inlineStr">
        <is>
          <t>Weight ( Pounds)</t>
        </is>
      </c>
    </row>
    <row r="2" ht="14" customHeight="1">
      <c r="A2" s="4" t="inlineStr">
        <is>
          <t>MH-107</t>
        </is>
      </c>
      <c r="B2" s="5" t="n">
        <v>100</v>
      </c>
      <c r="C2" s="5" t="inlineStr">
        <is>
          <t>20.5 X 20.5 X 7</t>
        </is>
      </c>
      <c r="D2" s="6" t="n">
        <v>8</v>
      </c>
    </row>
    <row r="3" ht="14" customHeight="1">
      <c r="A3" s="4" t="inlineStr">
        <is>
          <t>MH-901</t>
        </is>
      </c>
      <c r="B3" s="5" t="n">
        <v>150</v>
      </c>
      <c r="C3" s="5" t="inlineStr">
        <is>
          <t xml:space="preserve">30 X 18.5 X 6.25 </t>
        </is>
      </c>
      <c r="D3" s="6" t="n">
        <v>20.5</v>
      </c>
      <c r="E3" s="7" t="n"/>
    </row>
    <row r="4" ht="14" customHeight="1">
      <c r="A4" s="4" t="inlineStr">
        <is>
          <t>MH-805</t>
        </is>
      </c>
      <c r="B4" s="5" t="n">
        <v>20.5</v>
      </c>
      <c r="C4" s="5" t="inlineStr">
        <is>
          <t>23 X 22.75 X 4.75</t>
        </is>
      </c>
      <c r="D4" s="6" t="n">
        <v>14.5</v>
      </c>
    </row>
    <row r="5" ht="14" customHeight="1">
      <c r="A5" s="8" t="inlineStr">
        <is>
          <t>MH-11500</t>
        </is>
      </c>
      <c r="B5" s="9" t="n">
        <v>163</v>
      </c>
      <c r="C5" s="9" t="inlineStr">
        <is>
          <t>18 X 81 X 14.5</t>
        </is>
      </c>
      <c r="D5" s="10" t="n">
        <v>105</v>
      </c>
    </row>
    <row r="11" ht="14" customHeight="1">
      <c r="A11" s="17" t="inlineStr">
        <is>
          <t>Expenses involved in selling</t>
        </is>
      </c>
      <c r="B11" s="18" t="n"/>
    </row>
    <row r="12" ht="14" customHeight="1">
      <c r="A12" s="4" t="inlineStr">
        <is>
          <t>Channel Commison</t>
        </is>
      </c>
      <c r="B12" s="11" t="n">
        <v>0.15</v>
      </c>
    </row>
    <row r="13" ht="14" customHeight="1">
      <c r="A13" s="4" t="inlineStr">
        <is>
          <t>Storage (Needs to be calculated for 3 month)</t>
        </is>
      </c>
      <c r="B13" s="6" t="inlineStr">
        <is>
          <t>2$ Per Cubic Meter per month</t>
        </is>
      </c>
    </row>
    <row r="14" ht="14" customHeight="1">
      <c r="A14" s="4" t="inlineStr">
        <is>
          <t>Clossing fee per order</t>
        </is>
      </c>
      <c r="B14" s="12" t="inlineStr">
        <is>
          <t xml:space="preserve">5$ for order value below 120$ and 10$ for orders above 120$ </t>
        </is>
      </c>
    </row>
    <row r="15" ht="14" customHeight="1">
      <c r="A15" s="8" t="inlineStr">
        <is>
          <t>Returns</t>
        </is>
      </c>
      <c r="B15" s="13" t="inlineStr">
        <is>
          <t>10% of revenue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B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M7" sqref="M7"/>
    </sheetView>
  </sheetViews>
  <sheetFormatPr baseColWidth="8" defaultRowHeight="14"/>
  <cols>
    <col width="9.75" customWidth="1" min="1" max="1"/>
    <col width="11.08203125" customWidth="1" min="2" max="2"/>
    <col width="10.1640625" customWidth="1" min="3" max="3"/>
    <col width="10.5" customWidth="1" min="4" max="4"/>
    <col width="10.5" customWidth="1" min="7" max="7"/>
    <col width="11.83203125" customWidth="1" min="9" max="9"/>
    <col width="11.75" customWidth="1" min="10" max="10"/>
    <col width="10.83203125" customWidth="1" min="11" max="11"/>
    <col width="10.9140625" customWidth="1" min="13" max="13"/>
  </cols>
  <sheetData>
    <row r="1" ht="16.5" customHeight="1">
      <c r="A1" t="inlineStr">
        <is>
          <t>SKU</t>
        </is>
      </c>
      <c r="B1" t="inlineStr">
        <is>
          <t>Selling Price</t>
        </is>
      </c>
      <c r="C1" t="inlineStr">
        <is>
          <t>Length(in)</t>
        </is>
      </c>
      <c r="D1" t="inlineStr">
        <is>
          <t>Breadth(in)</t>
        </is>
      </c>
      <c r="E1" t="inlineStr">
        <is>
          <t>Height(in)</t>
        </is>
      </c>
      <c r="F1" t="inlineStr">
        <is>
          <t>Length(m)</t>
        </is>
      </c>
      <c r="G1" t="inlineStr">
        <is>
          <t>Breadth(m)</t>
        </is>
      </c>
      <c r="H1" t="inlineStr">
        <is>
          <t>Height(m)</t>
        </is>
      </c>
      <c r="I1" t="inlineStr">
        <is>
          <t>Volume(m3)</t>
        </is>
      </c>
      <c r="J1" t="inlineStr">
        <is>
          <t>Storage Cost</t>
        </is>
      </c>
      <c r="K1" t="inlineStr">
        <is>
          <t>Commission</t>
        </is>
      </c>
      <c r="L1" t="inlineStr">
        <is>
          <t>Returns</t>
        </is>
      </c>
      <c r="M1" t="inlineStr">
        <is>
          <t>Closing Fee</t>
        </is>
      </c>
    </row>
    <row r="2">
      <c r="A2">
        <f>Input_Data!A2</f>
        <v/>
      </c>
      <c r="B2" t="n">
        <v>100</v>
      </c>
      <c r="C2" t="n">
        <v>20.5</v>
      </c>
      <c r="D2" t="n">
        <v>20.5</v>
      </c>
      <c r="E2" t="n">
        <v>7</v>
      </c>
      <c r="F2" t="n">
        <v>0.5207000000000001</v>
      </c>
      <c r="G2" t="n">
        <v>0.5207000000000001</v>
      </c>
      <c r="H2" t="n">
        <v>0.1778</v>
      </c>
      <c r="I2" t="n">
        <v>0.048206645522</v>
      </c>
      <c r="J2" t="n">
        <v>0.289239873132</v>
      </c>
      <c r="K2" t="n">
        <v>15</v>
      </c>
      <c r="L2" t="n">
        <v>10</v>
      </c>
      <c r="M2" t="n">
        <v>5</v>
      </c>
    </row>
    <row r="3">
      <c r="A3">
        <f>Input_Data!A3</f>
        <v/>
      </c>
      <c r="B3" t="n">
        <v>150</v>
      </c>
      <c r="C3" t="n">
        <v>30</v>
      </c>
      <c r="D3" t="n">
        <v>18.5</v>
      </c>
      <c r="E3" t="n">
        <v>6.25</v>
      </c>
      <c r="F3" t="n">
        <v>0.762</v>
      </c>
      <c r="G3" t="n">
        <v>0.4699</v>
      </c>
      <c r="H3" t="n">
        <v>0.15875</v>
      </c>
      <c r="I3" t="n">
        <v>0.05684262825</v>
      </c>
      <c r="J3" t="n">
        <v>0.3410557695</v>
      </c>
      <c r="K3" t="n">
        <v>22.5</v>
      </c>
      <c r="L3" t="n">
        <v>15</v>
      </c>
      <c r="M3" t="n">
        <v>10</v>
      </c>
    </row>
    <row r="4">
      <c r="A4">
        <f>Input_Data!A4</f>
        <v/>
      </c>
      <c r="B4" t="n">
        <v>20.5</v>
      </c>
      <c r="C4" t="n">
        <v>23</v>
      </c>
      <c r="D4" t="n">
        <v>22.75</v>
      </c>
      <c r="E4" t="n">
        <v>4.75</v>
      </c>
      <c r="F4" t="n">
        <v>0.5842000000000001</v>
      </c>
      <c r="G4" t="n">
        <v>0.57785</v>
      </c>
      <c r="H4" t="n">
        <v>0.12065</v>
      </c>
      <c r="I4" t="n">
        <v>0.0407290233805</v>
      </c>
      <c r="J4" t="n">
        <v>0.244374140283</v>
      </c>
      <c r="K4" t="n">
        <v>3.075</v>
      </c>
      <c r="L4" t="n">
        <v>2.05</v>
      </c>
      <c r="M4" t="n">
        <v>5</v>
      </c>
    </row>
    <row r="5">
      <c r="A5">
        <f>Input_Data!A5</f>
        <v/>
      </c>
      <c r="B5" t="n">
        <v>163</v>
      </c>
      <c r="C5" t="n">
        <v>18</v>
      </c>
      <c r="D5" t="n">
        <v>81</v>
      </c>
      <c r="E5" t="n">
        <v>14.5</v>
      </c>
      <c r="F5" t="n">
        <v>0.4572</v>
      </c>
      <c r="G5" t="n">
        <v>2.0574</v>
      </c>
      <c r="H5" t="n">
        <v>0.3683</v>
      </c>
      <c r="I5" t="n">
        <v>0.346438920024</v>
      </c>
      <c r="J5" t="n">
        <v>2.078633520144</v>
      </c>
      <c r="K5" t="n">
        <v>24.45</v>
      </c>
      <c r="L5" t="n">
        <v>16.3</v>
      </c>
      <c r="M5" t="n">
        <v>10</v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3" sqref="C3"/>
    </sheetView>
  </sheetViews>
  <sheetFormatPr baseColWidth="8" defaultRowHeight="14"/>
  <cols>
    <col width="10.58203125" customWidth="1" min="1" max="1"/>
    <col width="11.6640625" customWidth="1" min="2" max="2"/>
    <col width="11.75" customWidth="1" min="3" max="3"/>
  </cols>
  <sheetData>
    <row r="1">
      <c r="A1" t="inlineStr">
        <is>
          <t>SKU</t>
        </is>
      </c>
      <c r="B1" t="inlineStr">
        <is>
          <t>Selling Price</t>
        </is>
      </c>
      <c r="C1" t="inlineStr">
        <is>
          <t>Buying Price</t>
        </is>
      </c>
    </row>
    <row r="2">
      <c r="A2">
        <f>Calculations!A2</f>
        <v/>
      </c>
      <c r="B2" t="n">
        <v>100</v>
      </c>
      <c r="C2" s="19" t="n">
        <v>69.710760126868</v>
      </c>
    </row>
    <row r="3">
      <c r="A3">
        <f>Calculations!A3</f>
        <v/>
      </c>
      <c r="B3" t="n">
        <v>150</v>
      </c>
      <c r="C3" s="19" t="n">
        <v>102.1589442305</v>
      </c>
    </row>
    <row r="4">
      <c r="A4">
        <f>Calculations!A4</f>
        <v/>
      </c>
      <c r="B4" t="n">
        <v>20.5</v>
      </c>
      <c r="C4" s="19" t="n">
        <v>10.130625859717</v>
      </c>
    </row>
    <row r="5">
      <c r="A5">
        <f>Calculations!A5</f>
        <v/>
      </c>
      <c r="B5" t="n">
        <v>163</v>
      </c>
      <c r="C5" s="19" t="n">
        <v>110.171366479856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MHL Aviraj Singh</dc:creator>
  <dcterms:created xmlns:dcterms="http://purl.org/dc/terms/" xmlns:xsi="http://www.w3.org/2001/XMLSchema-instance" xsi:type="dcterms:W3CDTF">2024-10-12T08:18:00Z</dcterms:created>
  <dcterms:modified xmlns:dcterms="http://purl.org/dc/terms/" xmlns:xsi="http://www.w3.org/2001/XMLSchema-instance" xsi:type="dcterms:W3CDTF">2026-08-04T22:52:22Z</dcterms:modified>
  <cp:lastModifiedBy>vinay sharma</cp:lastModifiedBy>
</cp:coreProperties>
</file>