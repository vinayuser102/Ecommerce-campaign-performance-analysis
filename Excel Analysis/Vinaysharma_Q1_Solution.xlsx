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V:\Solution of internship work\"/>
    </mc:Choice>
  </mc:AlternateContent>
  <xr:revisionPtr revIDLastSave="0" documentId="8_{FD69AD88-44D7-4181-9E3D-DFA8D102CB1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put_Data" sheetId="1" r:id="rId1"/>
    <sheet name="Calculations" sheetId="2" r:id="rId2"/>
    <sheet name="Final_Outpu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qEaLtqRQ1MZQE7H003s85u8W2GoYx3ACWL7TsTvR2BQ="/>
    </ext>
  </extLst>
</workbook>
</file>

<file path=xl/calcChain.xml><?xml version="1.0" encoding="utf-8"?>
<calcChain xmlns="http://schemas.openxmlformats.org/spreadsheetml/2006/main">
  <c r="C3" i="3" l="1"/>
  <c r="C4" i="3"/>
  <c r="C5" i="3"/>
  <c r="C2" i="3"/>
  <c r="B3" i="3"/>
  <c r="B4" i="3"/>
  <c r="B5" i="3"/>
  <c r="B2" i="3"/>
  <c r="A3" i="3"/>
  <c r="A4" i="3"/>
  <c r="A5" i="3"/>
  <c r="A2" i="3"/>
  <c r="M3" i="2"/>
  <c r="M4" i="2"/>
  <c r="M5" i="2"/>
  <c r="M2" i="2"/>
  <c r="L3" i="2"/>
  <c r="L4" i="2"/>
  <c r="L5" i="2"/>
  <c r="L2" i="2"/>
  <c r="K3" i="2"/>
  <c r="K4" i="2"/>
  <c r="K5" i="2"/>
  <c r="K2" i="2"/>
  <c r="J3" i="2"/>
  <c r="J4" i="2"/>
  <c r="J5" i="2"/>
  <c r="J2" i="2"/>
  <c r="I3" i="2"/>
  <c r="I4" i="2"/>
  <c r="I5" i="2"/>
  <c r="I2" i="2"/>
  <c r="H3" i="2"/>
  <c r="H4" i="2"/>
  <c r="H5" i="2"/>
  <c r="H2" i="2"/>
  <c r="G3" i="2"/>
  <c r="G4" i="2"/>
  <c r="G5" i="2"/>
  <c r="G2" i="2"/>
  <c r="F3" i="2"/>
  <c r="F4" i="2"/>
  <c r="F5" i="2"/>
  <c r="F2" i="2"/>
  <c r="E3" i="2"/>
  <c r="E4" i="2"/>
  <c r="E5" i="2"/>
  <c r="E2" i="2"/>
  <c r="D2" i="2"/>
  <c r="D3" i="2"/>
  <c r="D4" i="2"/>
  <c r="D5" i="2"/>
  <c r="C2" i="2"/>
  <c r="C3" i="2"/>
  <c r="C4" i="2"/>
  <c r="C5" i="2"/>
  <c r="B3" i="2"/>
  <c r="B4" i="2"/>
  <c r="B5" i="2"/>
  <c r="B2" i="2"/>
  <c r="A5" i="2"/>
  <c r="A3" i="2"/>
  <c r="A4" i="2"/>
  <c r="A2" i="2"/>
</calcChain>
</file>

<file path=xl/sharedStrings.xml><?xml version="1.0" encoding="utf-8"?>
<sst xmlns="http://schemas.openxmlformats.org/spreadsheetml/2006/main" count="36" uniqueCount="32">
  <si>
    <t>SKU</t>
  </si>
  <si>
    <t>Dimentions ( L X B X H) Inches</t>
  </si>
  <si>
    <t>Weight ( Pounds)</t>
  </si>
  <si>
    <t>MH-107</t>
  </si>
  <si>
    <t>20.5 X 20.5 X 7</t>
  </si>
  <si>
    <t>MH-901</t>
  </si>
  <si>
    <t xml:space="preserve">30 X 18.5 X 6.25 </t>
  </si>
  <si>
    <t>MH-805</t>
  </si>
  <si>
    <t>23 X 22.75 X 4.75</t>
  </si>
  <si>
    <t>MH-11500</t>
  </si>
  <si>
    <t>18 X 81 X 14.5</t>
  </si>
  <si>
    <t>Expenses involved in selling</t>
  </si>
  <si>
    <t>Channel Commison</t>
  </si>
  <si>
    <t>Storage (Needs to be calculated for 3 month)</t>
  </si>
  <si>
    <t>2$ Per Cubic Meter per month</t>
  </si>
  <si>
    <t>Clossing fee per order</t>
  </si>
  <si>
    <t xml:space="preserve">5$ for order value below 120$ and 10$ for orders above 120$ </t>
  </si>
  <si>
    <t>Returns</t>
  </si>
  <si>
    <t>10% of revenue</t>
  </si>
  <si>
    <t>Selling price</t>
  </si>
  <si>
    <t>Selling Price</t>
  </si>
  <si>
    <t>Length(in)</t>
  </si>
  <si>
    <t>Height(in)</t>
  </si>
  <si>
    <t>Height(m)</t>
  </si>
  <si>
    <t>Length(m)</t>
  </si>
  <si>
    <r>
      <t>Volume(m</t>
    </r>
    <r>
      <rPr>
        <vertAlign val="superscript"/>
        <sz val="11"/>
        <color theme="1"/>
        <rFont val="Aptos Narrow"/>
        <scheme val="minor"/>
      </rPr>
      <t>3</t>
    </r>
    <r>
      <rPr>
        <sz val="11"/>
        <color theme="1"/>
        <rFont val="Aptos Narrow"/>
        <scheme val="minor"/>
      </rPr>
      <t>)</t>
    </r>
  </si>
  <si>
    <t>Storage Cost</t>
  </si>
  <si>
    <t>Commission</t>
  </si>
  <si>
    <t>Closing Fee</t>
  </si>
  <si>
    <t>Breadth(in)</t>
  </si>
  <si>
    <t>Breadth(m)</t>
  </si>
  <si>
    <t>Buying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</si>
</sst>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6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strike/>
      <sz val="11"/>
      <color theme="1"/>
      <name val="Aptos Narrow"/>
    </font>
    <font>
      <sz val="11"/>
      <name val="Aptos Narrow"/>
    </font>
    <font>
      <vertAlign val="superscript"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0" xfId="0" applyFont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9" fontId="2" fillId="0" borderId="5" xfId="0" applyNumberFormat="1" applyFont="1" applyBorder="1" applyAlignment="1">
      <alignment horizontal="center"/>
    </xf>
    <xf numFmtId="0" fontId="2" fillId="0" borderId="5" xfId="0" applyFont="1" applyBorder="1"/>
    <xf numFmtId="9" fontId="2" fillId="0" borderId="8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3" xfId="0" applyFont="1" applyBorder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9</xdr:row>
      <xdr:rowOff>114300</xdr:rowOff>
    </xdr:from>
    <xdr:ext cx="3152775" cy="1409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769613" y="3075150"/>
          <a:ext cx="3152775" cy="1409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Calculate the buying</a:t>
          </a:r>
          <a:r>
            <a:rPr lang="en-US" sz="1100" baseline="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 price of the SKU if we are selling these SKUs with Net margin of 15% </a:t>
          </a: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abSelected="1" zoomScale="87" zoomScaleNormal="87" workbookViewId="0">
      <selection activeCell="A2" sqref="A2"/>
    </sheetView>
  </sheetViews>
  <sheetFormatPr defaultColWidth="12.58203125" defaultRowHeight="15" customHeight="1"/>
  <cols>
    <col min="1" max="1" width="42" customWidth="1"/>
    <col min="2" max="2" width="53.58203125" customWidth="1"/>
    <col min="3" max="3" width="27.75" customWidth="1"/>
    <col min="4" max="4" width="16.1640625" customWidth="1"/>
    <col min="5" max="26" width="8.58203125" customWidth="1"/>
  </cols>
  <sheetData>
    <row r="1" spans="1:5" ht="14">
      <c r="A1" s="1" t="s">
        <v>0</v>
      </c>
      <c r="B1" s="2" t="s">
        <v>19</v>
      </c>
      <c r="C1" s="2" t="s">
        <v>1</v>
      </c>
      <c r="D1" s="3" t="s">
        <v>2</v>
      </c>
    </row>
    <row r="2" spans="1:5" ht="14">
      <c r="A2" s="4" t="s">
        <v>3</v>
      </c>
      <c r="B2" s="5">
        <v>100</v>
      </c>
      <c r="C2" s="5" t="s">
        <v>4</v>
      </c>
      <c r="D2" s="6">
        <v>8</v>
      </c>
    </row>
    <row r="3" spans="1:5" ht="14">
      <c r="A3" s="4" t="s">
        <v>5</v>
      </c>
      <c r="B3" s="5">
        <v>150</v>
      </c>
      <c r="C3" s="5" t="s">
        <v>6</v>
      </c>
      <c r="D3" s="6">
        <v>20.5</v>
      </c>
      <c r="E3" s="7"/>
    </row>
    <row r="4" spans="1:5" ht="14">
      <c r="A4" s="4" t="s">
        <v>7</v>
      </c>
      <c r="B4" s="5">
        <v>20.5</v>
      </c>
      <c r="C4" s="5" t="s">
        <v>8</v>
      </c>
      <c r="D4" s="6">
        <v>14.5</v>
      </c>
    </row>
    <row r="5" spans="1:5" ht="14">
      <c r="A5" s="8" t="s">
        <v>9</v>
      </c>
      <c r="B5" s="9">
        <v>163</v>
      </c>
      <c r="C5" s="9" t="s">
        <v>10</v>
      </c>
      <c r="D5" s="10">
        <v>105</v>
      </c>
    </row>
    <row r="11" spans="1:5" ht="14">
      <c r="A11" s="14" t="s">
        <v>11</v>
      </c>
      <c r="B11" s="15"/>
    </row>
    <row r="12" spans="1:5" ht="14">
      <c r="A12" s="4" t="s">
        <v>12</v>
      </c>
      <c r="B12" s="11">
        <v>0.15</v>
      </c>
    </row>
    <row r="13" spans="1:5" ht="14">
      <c r="A13" s="4" t="s">
        <v>13</v>
      </c>
      <c r="B13" s="6" t="s">
        <v>14</v>
      </c>
    </row>
    <row r="14" spans="1:5" ht="14">
      <c r="A14" s="4" t="s">
        <v>15</v>
      </c>
      <c r="B14" s="12" t="s">
        <v>16</v>
      </c>
    </row>
    <row r="15" spans="1:5" ht="14">
      <c r="A15" s="8" t="s">
        <v>17</v>
      </c>
      <c r="B15" s="13" t="s">
        <v>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1:B11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98C3-AFDE-4B32-86D9-DC149DC842F5}">
  <dimension ref="A1:M5"/>
  <sheetViews>
    <sheetView workbookViewId="0">
      <selection activeCell="M7" sqref="M7"/>
    </sheetView>
  </sheetViews>
  <sheetFormatPr defaultRowHeight="14"/>
  <cols>
    <col min="1" max="1" width="9.75" customWidth="1"/>
    <col min="2" max="2" width="11.08203125" customWidth="1"/>
    <col min="3" max="3" width="10.1640625" customWidth="1"/>
    <col min="4" max="4" width="10.5" customWidth="1"/>
    <col min="7" max="7" width="10.5" customWidth="1"/>
    <col min="9" max="9" width="11.83203125" customWidth="1"/>
    <col min="10" max="10" width="11.75" customWidth="1"/>
    <col min="11" max="11" width="10.83203125" customWidth="1"/>
    <col min="13" max="13" width="10.9140625" customWidth="1"/>
  </cols>
  <sheetData>
    <row r="1" spans="1:13" ht="16.5">
      <c r="A1" t="s">
        <v>0</v>
      </c>
      <c r="B1" t="s">
        <v>20</v>
      </c>
      <c r="C1" t="s">
        <v>21</v>
      </c>
      <c r="D1" t="s">
        <v>29</v>
      </c>
      <c r="E1" t="s">
        <v>22</v>
      </c>
      <c r="F1" t="s">
        <v>24</v>
      </c>
      <c r="G1" t="s">
        <v>30</v>
      </c>
      <c r="H1" t="s">
        <v>23</v>
      </c>
      <c r="I1" t="s">
        <v>25</v>
      </c>
      <c r="J1" t="s">
        <v>26</v>
      </c>
      <c r="K1" t="s">
        <v>27</v>
      </c>
      <c r="L1" t="s">
        <v>17</v>
      </c>
      <c r="M1" t="s">
        <v>28</v>
      </c>
    </row>
    <row r="2" spans="1:13">
      <c r="A2" t="str">
        <f>Input_Data!A2</f>
        <v>MH-107</v>
      </c>
      <c r="B2">
        <f>Input_Data!B2</f>
        <v>100</v>
      </c>
      <c r="C2">
        <f>VALUE(LEFT(Input_Data!C2,FIND(" X ",Input_Data!C2)-1))</f>
        <v>20.5</v>
      </c>
      <c r="D2">
        <f>VALUE(MID(Input_Data!C2,FIND(" X ",Input_Data!C2)+3,FIND(" X ",Input_Data!C2,FIND(" X ", Input_Data!C2)+1)-FIND(" X ", Input_Data!C2)-3))</f>
        <v>20.5</v>
      </c>
      <c r="E2">
        <f>VALUE(RIGHT(Input_Data!C2,LEN(Input_Data!C2)-FIND(" X ", Input_Data!C2,FIND(" X ", Input_Data!C2)+1)-2))</f>
        <v>7</v>
      </c>
      <c r="F2">
        <f>C2*0.0254</f>
        <v>0.52069999999999994</v>
      </c>
      <c r="G2">
        <f>D2*0.0254</f>
        <v>0.52069999999999994</v>
      </c>
      <c r="H2">
        <f>E2*0.0254</f>
        <v>0.17779999999999999</v>
      </c>
      <c r="I2">
        <f>F2*G2*H2</f>
        <v>4.8206645521999984E-2</v>
      </c>
      <c r="J2">
        <f>I2*2*3</f>
        <v>0.28923987313199989</v>
      </c>
      <c r="K2">
        <f>B2*0.15</f>
        <v>15</v>
      </c>
      <c r="L2">
        <f>B2*0.1</f>
        <v>10</v>
      </c>
      <c r="M2">
        <f>IF(B2&lt;120,5,10)</f>
        <v>5</v>
      </c>
    </row>
    <row r="3" spans="1:13">
      <c r="A3" t="str">
        <f>Input_Data!A3</f>
        <v>MH-901</v>
      </c>
      <c r="B3">
        <f>Input_Data!B3</f>
        <v>150</v>
      </c>
      <c r="C3">
        <f>VALUE(LEFT(Input_Data!C3,FIND(" X ",Input_Data!C3)-1))</f>
        <v>30</v>
      </c>
      <c r="D3">
        <f>VALUE(MID(Input_Data!C3,FIND(" X ",Input_Data!C3)+3,FIND(" X ",Input_Data!C3,FIND(" X ", Input_Data!C3)+1)-FIND(" X ", Input_Data!C3)-3))</f>
        <v>18.5</v>
      </c>
      <c r="E3">
        <f>VALUE(RIGHT(Input_Data!C3,LEN(Input_Data!C3)-FIND(" X ", Input_Data!C3,FIND(" X ", Input_Data!C3)+1)-2))</f>
        <v>6.25</v>
      </c>
      <c r="F3">
        <f t="shared" ref="F3:F5" si="0">C3*0.0254</f>
        <v>0.76200000000000001</v>
      </c>
      <c r="G3">
        <f t="shared" ref="G3:G5" si="1">D3*0.0254</f>
        <v>0.46989999999999998</v>
      </c>
      <c r="H3">
        <f t="shared" ref="H3:H5" si="2">E3*0.0254</f>
        <v>0.15875</v>
      </c>
      <c r="I3">
        <f t="shared" ref="I3:I5" si="3">F3*G3*H3</f>
        <v>5.6842628249999999E-2</v>
      </c>
      <c r="J3">
        <f t="shared" ref="J3:J5" si="4">I3*2*3</f>
        <v>0.34105576949999999</v>
      </c>
      <c r="K3">
        <f t="shared" ref="K3:K5" si="5">B3*0.15</f>
        <v>22.5</v>
      </c>
      <c r="L3">
        <f t="shared" ref="L3:L5" si="6">B3*0.1</f>
        <v>15</v>
      </c>
      <c r="M3">
        <f t="shared" ref="M3:M5" si="7">IF(B3&lt;120,5,10)</f>
        <v>10</v>
      </c>
    </row>
    <row r="4" spans="1:13">
      <c r="A4" t="str">
        <f>Input_Data!A4</f>
        <v>MH-805</v>
      </c>
      <c r="B4">
        <f>Input_Data!B4</f>
        <v>20.5</v>
      </c>
      <c r="C4">
        <f>VALUE(LEFT(Input_Data!C4,FIND(" X ",Input_Data!C4)-1))</f>
        <v>23</v>
      </c>
      <c r="D4">
        <f>VALUE(MID(Input_Data!C4,FIND(" X ",Input_Data!C4)+3,FIND(" X ",Input_Data!C4,FIND(" X ", Input_Data!C4)+1)-FIND(" X ", Input_Data!C4)-3))</f>
        <v>22.75</v>
      </c>
      <c r="E4">
        <f>VALUE(RIGHT(Input_Data!C4,LEN(Input_Data!C4)-FIND(" X ", Input_Data!C4,FIND(" X ", Input_Data!C4)+1)-2))</f>
        <v>4.75</v>
      </c>
      <c r="F4">
        <f t="shared" si="0"/>
        <v>0.58419999999999994</v>
      </c>
      <c r="G4">
        <f t="shared" si="1"/>
        <v>0.57784999999999997</v>
      </c>
      <c r="H4">
        <f t="shared" si="2"/>
        <v>0.12064999999999999</v>
      </c>
      <c r="I4">
        <f t="shared" si="3"/>
        <v>4.0729023380499989E-2</v>
      </c>
      <c r="J4">
        <f t="shared" si="4"/>
        <v>0.24437414028299992</v>
      </c>
      <c r="K4">
        <f t="shared" si="5"/>
        <v>3.0749999999999997</v>
      </c>
      <c r="L4">
        <f t="shared" si="6"/>
        <v>2.0500000000000003</v>
      </c>
      <c r="M4">
        <f t="shared" si="7"/>
        <v>5</v>
      </c>
    </row>
    <row r="5" spans="1:13">
      <c r="A5" t="str">
        <f>Input_Data!A5</f>
        <v>MH-11500</v>
      </c>
      <c r="B5">
        <f>Input_Data!B5</f>
        <v>163</v>
      </c>
      <c r="C5">
        <f>VALUE(LEFT(Input_Data!C5,FIND(" X ",Input_Data!C5)-1))</f>
        <v>18</v>
      </c>
      <c r="D5">
        <f>VALUE(MID(Input_Data!C5,FIND(" X ",Input_Data!C5)+3,FIND(" X ",Input_Data!C5,FIND(" X ", Input_Data!C5)+1)-FIND(" X ", Input_Data!C5)-3))</f>
        <v>81</v>
      </c>
      <c r="E5">
        <f>VALUE(RIGHT(Input_Data!C5,LEN(Input_Data!C5)-FIND(" X ", Input_Data!C5,FIND(" X ", Input_Data!C5)+1)-2))</f>
        <v>14.5</v>
      </c>
      <c r="F5">
        <f t="shared" si="0"/>
        <v>0.4572</v>
      </c>
      <c r="G5">
        <f t="shared" si="1"/>
        <v>2.0573999999999999</v>
      </c>
      <c r="H5">
        <f t="shared" si="2"/>
        <v>0.36829999999999996</v>
      </c>
      <c r="I5">
        <f t="shared" si="3"/>
        <v>0.34643892002399995</v>
      </c>
      <c r="J5">
        <f t="shared" si="4"/>
        <v>2.0786335201439998</v>
      </c>
      <c r="K5">
        <f t="shared" si="5"/>
        <v>24.45</v>
      </c>
      <c r="L5">
        <f t="shared" si="6"/>
        <v>16.3</v>
      </c>
      <c r="M5">
        <f t="shared" si="7"/>
        <v>10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AF417-1789-4A1B-8978-5C83A812A31F}">
  <dimension ref="A1:C5"/>
  <sheetViews>
    <sheetView workbookViewId="0">
      <selection activeCell="C3" sqref="C3"/>
    </sheetView>
  </sheetViews>
  <sheetFormatPr defaultRowHeight="14"/>
  <cols>
    <col min="1" max="1" width="10.58203125" customWidth="1"/>
    <col min="2" max="2" width="11.6640625" customWidth="1"/>
    <col min="3" max="3" width="11.75" customWidth="1"/>
  </cols>
  <sheetData>
    <row r="1" spans="1:3">
      <c r="A1" t="s">
        <v>0</v>
      </c>
      <c r="B1" t="s">
        <v>20</v>
      </c>
      <c r="C1" t="s">
        <v>31</v>
      </c>
    </row>
    <row r="2" spans="1:3">
      <c r="A2" t="str">
        <f>Calculations!A2</f>
        <v>MH-107</v>
      </c>
      <c r="B2">
        <f>Calculations!B2</f>
        <v>100</v>
      </c>
      <c r="C2" s="16">
        <f>Calculations!B2 -( Calculations!B2*0.15)-Calculations!K2-Calculations!L2-Calculations!M2-Calculations!J2</f>
        <v>54.710760126868003</v>
      </c>
    </row>
    <row r="3" spans="1:3">
      <c r="A3" t="str">
        <f>Calculations!A3</f>
        <v>MH-901</v>
      </c>
      <c r="B3">
        <f>Calculations!B3</f>
        <v>150</v>
      </c>
      <c r="C3" s="16">
        <f>Calculations!B3 -( Calculations!B3*0.15)-Calculations!K3-Calculations!L3-Calculations!M3-Calculations!J3</f>
        <v>79.658944230499998</v>
      </c>
    </row>
    <row r="4" spans="1:3">
      <c r="A4" t="str">
        <f>Calculations!A4</f>
        <v>MH-805</v>
      </c>
      <c r="B4">
        <f>Calculations!B4</f>
        <v>20.5</v>
      </c>
      <c r="C4" s="16">
        <f>Calculations!B4 -( Calculations!B4*0.15)-Calculations!K4-Calculations!L4-Calculations!M4-Calculations!J4</f>
        <v>7.0556258597170007</v>
      </c>
    </row>
    <row r="5" spans="1:3">
      <c r="A5" t="str">
        <f>Calculations!A5</f>
        <v>MH-11500</v>
      </c>
      <c r="B5">
        <f>Calculations!B5</f>
        <v>163</v>
      </c>
      <c r="C5" s="16">
        <f>Calculations!B5 -( Calculations!B5*0.15)-Calculations!K5-Calculations!L5-Calculations!M5-Calculations!J5</f>
        <v>85.721366479856016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Input_Data</vt:lpstr>
      <vt:lpstr>Calculations</vt:lpstr>
      <vt:lpstr>Final_Output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MHL Aviraj Singh</dc:creator>
  <cp:lastModifiedBy>vinay sharma</cp:lastModifiedBy>
  <dcterms:created xsi:type="dcterms:W3CDTF">2024-10-12T08:18:00Z</dcterms:created>
  <dcterms:modified xsi:type="dcterms:W3CDTF">2026-03-06T19:11:40Z</dcterms:modified>
</cp:coreProperties>
</file>